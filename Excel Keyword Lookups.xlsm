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eefba688621984cf/ITAutomator/Excel Keyword Lookups/"/>
    </mc:Choice>
  </mc:AlternateContent>
  <xr:revisionPtr revIDLastSave="0" documentId="8_{13B6B17F-7E5E-4035-86BE-4B45D22310CF}" xr6:coauthVersionLast="47" xr6:coauthVersionMax="47" xr10:uidLastSave="{00000000-0000-0000-0000-000000000000}"/>
  <bookViews>
    <workbookView xWindow="-103" yWindow="-103" windowWidth="20777" windowHeight="13200" xr2:uid="{ADFC2DBF-3A34-423A-898B-A223BE3603B3}"/>
  </bookViews>
  <sheets>
    <sheet name="Lookups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" i="2" l="1" a="1"/>
  <c r="H10" i="2" s="1"/>
  <c r="I10" i="2" s="1" a="1"/>
  <c r="I10" i="2" s="1"/>
  <c r="H9" i="2" a="1"/>
  <c r="H9" i="2" s="1"/>
  <c r="I9" i="2" s="1" a="1"/>
  <c r="I9" i="2" s="1"/>
  <c r="H8" i="2" a="1"/>
  <c r="H8" i="2" s="1"/>
  <c r="I8" i="2" s="1" a="1"/>
  <c r="I8" i="2" s="1"/>
  <c r="H7" i="2" a="1"/>
  <c r="H7" i="2" s="1"/>
  <c r="I7" i="2" s="1" a="1"/>
  <c r="I7" i="2" s="1"/>
  <c r="H6" i="2" a="1"/>
  <c r="H6" i="2" s="1"/>
  <c r="I6" i="2" s="1" a="1"/>
  <c r="I6" i="2" s="1"/>
  <c r="H5" i="2" a="1"/>
  <c r="H5" i="2" s="1"/>
  <c r="I5" i="2" s="1" a="1"/>
  <c r="I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<sst xmlns="http://schemas.openxmlformats.org/spreadsheetml/2006/main" count="24" uniqueCount="22">
  <si>
    <t>Description</t>
  </si>
  <si>
    <t>Nobody was there</t>
  </si>
  <si>
    <t>FoundKeywords</t>
  </si>
  <si>
    <t>Keyword</t>
  </si>
  <si>
    <t>tblKeywords</t>
  </si>
  <si>
    <t>AMZN</t>
  </si>
  <si>
    <t>Amazon</t>
  </si>
  <si>
    <t>MSFT</t>
  </si>
  <si>
    <t>Microsoft</t>
  </si>
  <si>
    <t>INTC</t>
  </si>
  <si>
    <t>Intel</t>
  </si>
  <si>
    <t>Info1</t>
  </si>
  <si>
    <t>Info2</t>
  </si>
  <si>
    <t>Technology</t>
  </si>
  <si>
    <t>Project leads: MSFT, INTC</t>
  </si>
  <si>
    <t>FoundInfo</t>
  </si>
  <si>
    <t>Project leads: AAPL, MOTO</t>
  </si>
  <si>
    <t>MSFT was involved</t>
  </si>
  <si>
    <t>Mentioned was (AMZN) at the open</t>
  </si>
  <si>
    <t>Project was closed</t>
  </si>
  <si>
    <t>Lookup Table</t>
  </si>
  <si>
    <t>Finding keywords in text. Keywords are in a lookup 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</si>
</sst>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quotePrefix="1"/>
    <xf numFmtId="0" fontId="2" fillId="0" borderId="0" xfId="0" applyFont="1"/>
    <xf numFmtId="0" fontId="1" fillId="0" borderId="0" xfId="0" applyFont="1"/>
  </cellXfs>
  <cellStyles count="1">
    <cellStyle name="Normal" xfId="0" builtinId="0"/>
  </cellStyles>
  <dxfs count="3">
    <dxf>
      <numFmt numFmtId="0" formatCode="General"/>
    </dxf>
    <dxf>
      <numFmt numFmtId="0" formatCode="General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EE4012-03D7-4700-8AF8-3E24D9CC473E}" name="tblKeywords" displayName="tblKeywords" ref="G15:I18" totalsRowShown="0">
  <autoFilter ref="G15:I18" xr:uid="{00000000-0009-0000-0100-000003000000}"/>
  <sortState xmlns:xlrd2="http://schemas.microsoft.com/office/spreadsheetml/2017/richdata2" ref="G16:I18">
    <sortCondition ref="G15:G18"/>
  </sortState>
  <tableColumns count="3">
    <tableColumn id="1" xr3:uid="{AF71747F-C96A-4742-95C4-DDB343964DB0}" name="Keyword"/>
    <tableColumn id="3" xr3:uid="{F134FEAF-C830-4C88-9729-96DC648101A8}" name="Info1"/>
    <tableColumn id="2" xr3:uid="{18E15A39-ABAE-4E8A-9B63-A012B505AD56}" name="Info2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48433A7-CFA7-45E2-A376-4A217F2E1EF9}" name="Table2" displayName="Table2" ref="G4:I10" totalsRowShown="0" headerRowDxfId="2">
  <autoFilter ref="G4:I10" xr:uid="{748433A7-CFA7-45E2-A376-4A217F2E1EF9}"/>
  <tableColumns count="3">
    <tableColumn id="1" xr3:uid="{0C478195-DC1E-4D8C-A590-A5A89F558237}" name="Description"/>
    <tableColumn id="2" xr3:uid="{E5AD2C11-9917-4606-85A7-64679CF5EA0E}" name="FoundKeywords" dataDxfId="1">
      <calculatedColumnFormula array="1">IFERROR(_xlfn.TEXTJOIN(",",TRUE,_xlfn._xlws.FILTER(tblKeywords[Keyword],ISNUMBER(SEARCH(tblKeywords[Keyword],Table2[[#This Row],[Description]])))),"")</calculatedColumnFormula>
    </tableColumn>
    <tableColumn id="3" xr3:uid="{8E6BFEBB-EFE5-4544-8C95-D34ED4E01278}" name="FoundInfo" dataDxfId="0">
      <calculatedColumnFormula array="1">IFERROR(_xlfn.TEXTJOIN(",",TRUE,_xlfn.XLOOKUP(_xlfn.TEXTSPLIT(Table2[[#This Row],[FoundKeywords]],","),tblKeywords[Keyword],tblKeywords[Info2])),"")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05B39-39BD-47BE-A30E-3DF64CF1CBFA}">
  <dimension ref="G2:I18"/>
  <sheetViews>
    <sheetView tabSelected="1" topLeftCell="D1" workbookViewId="0">
      <selection activeCell="G3" sqref="G3"/>
    </sheetView>
  </sheetViews>
  <sheetFormatPr defaultRowHeight="14.6" x14ac:dyDescent="0.4"/>
  <cols>
    <col min="7" max="7" width="32.3046875" customWidth="1"/>
    <col min="8" max="8" width="17.84375" customWidth="1"/>
    <col min="9" max="9" width="26.15234375" bestFit="1" customWidth="1"/>
  </cols>
  <sheetData>
    <row r="2" spans="7:9" x14ac:dyDescent="0.4">
      <c r="G2" s="3" t="s">
        <v>21</v>
      </c>
    </row>
    <row r="4" spans="7:9" x14ac:dyDescent="0.4">
      <c r="G4" s="2" t="s">
        <v>0</v>
      </c>
      <c r="H4" s="2" t="s">
        <v>2</v>
      </c>
      <c r="I4" s="2" t="s">
        <v>15</v>
      </c>
    </row>
    <row r="5" spans="7:9" x14ac:dyDescent="0.4">
      <c r="G5" t="s">
        <v>14</v>
      </c>
      <c r="H5" t="str" cm="1">
        <f t="array" ref="H5">IFERROR(_xlfn.TEXTJOIN(",",TRUE,_xlfn._xlws.FILTER(tblKeywords[Keyword],ISNUMBER(SEARCH(tblKeywords[Keyword],Table2[[#This Row],[Description]])))),"")</f>
        <v>INTC,MSFT</v>
      </c>
      <c r="I5" t="str" cm="1">
        <f t="array" ref="I5">IFERROR(_xlfn.TEXTJOIN(",",TRUE,_xlfn.XLOOKUP(_xlfn.TEXTSPLIT(Table2[[#This Row],[FoundKeywords]],","),tblKeywords[Keyword],tblKeywords[Info2])),"")</f>
        <v>Intel,Microsoft</v>
      </c>
    </row>
    <row r="6" spans="7:9" x14ac:dyDescent="0.4">
      <c r="G6" t="s">
        <v>16</v>
      </c>
      <c r="H6" t="str" cm="1">
        <f t="array" ref="H6">IFERROR(_xlfn.TEXTJOIN(",",TRUE,_xlfn._xlws.FILTER(tblKeywords[Keyword],ISNUMBER(SEARCH(tblKeywords[Keyword],Table2[[#This Row],[Description]])))),"")</f>
        <v/>
      </c>
      <c r="I6" t="str" cm="1">
        <f t="array" ref="I6">IFERROR(_xlfn.TEXTJOIN(",",TRUE,_xlfn.XLOOKUP(_xlfn.TEXTSPLIT(Table2[[#This Row],[FoundKeywords]],","),tblKeywords[Keyword],tblKeywords[Info2])),"")</f>
        <v/>
      </c>
    </row>
    <row r="7" spans="7:9" x14ac:dyDescent="0.4">
      <c r="G7" t="s">
        <v>17</v>
      </c>
      <c r="H7" t="str" cm="1">
        <f t="array" ref="H7">IFERROR(_xlfn.TEXTJOIN(",",TRUE,_xlfn._xlws.FILTER(tblKeywords[Keyword],ISNUMBER(SEARCH(tblKeywords[Keyword],Table2[[#This Row],[Description]])))),"")</f>
        <v>MSFT</v>
      </c>
      <c r="I7" t="str" cm="1">
        <f t="array" ref="I7">IFERROR(_xlfn.TEXTJOIN(",",TRUE,_xlfn.XLOOKUP(_xlfn.TEXTSPLIT(Table2[[#This Row],[FoundKeywords]],","),tblKeywords[Keyword],tblKeywords[Info2])),"")</f>
        <v>Microsoft</v>
      </c>
    </row>
    <row r="8" spans="7:9" x14ac:dyDescent="0.4">
      <c r="G8" t="s">
        <v>1</v>
      </c>
      <c r="H8" t="str" cm="1">
        <f t="array" ref="H8">IFERROR(_xlfn.TEXTJOIN(",",TRUE,_xlfn._xlws.FILTER(tblKeywords[Keyword],ISNUMBER(SEARCH(tblKeywords[Keyword],Table2[[#This Row],[Description]])))),"")</f>
        <v/>
      </c>
      <c r="I8" t="str" cm="1">
        <f t="array" ref="I8">IFERROR(_xlfn.TEXTJOIN(",",TRUE,_xlfn.XLOOKUP(_xlfn.TEXTSPLIT(Table2[[#This Row],[FoundKeywords]],","),tblKeywords[Keyword],tblKeywords[Info2])),"")</f>
        <v/>
      </c>
    </row>
    <row r="9" spans="7:9" x14ac:dyDescent="0.4">
      <c r="G9" t="s">
        <v>18</v>
      </c>
      <c r="H9" t="str" cm="1">
        <f t="array" ref="H9">IFERROR(_xlfn.TEXTJOIN(",",TRUE,_xlfn._xlws.FILTER(tblKeywords[Keyword],ISNUMBER(SEARCH(tblKeywords[Keyword],Table2[[#This Row],[Description]])))),"")</f>
        <v>AMZN</v>
      </c>
      <c r="I9" t="str" cm="1">
        <f t="array" ref="I9">IFERROR(_xlfn.TEXTJOIN(",",TRUE,_xlfn.XLOOKUP(_xlfn.TEXTSPLIT(Table2[[#This Row],[FoundKeywords]],","),tblKeywords[Keyword],tblKeywords[Info2])),"")</f>
        <v>Amazon</v>
      </c>
    </row>
    <row r="10" spans="7:9" x14ac:dyDescent="0.4">
      <c r="G10" t="s">
        <v>19</v>
      </c>
      <c r="H10" t="str" cm="1">
        <f t="array" ref="H10">IFERROR(_xlfn.TEXTJOIN(",",TRUE,_xlfn._xlws.FILTER(tblKeywords[Keyword],ISNUMBER(SEARCH(tblKeywords[Keyword],Table2[[#This Row],[Description]])))),"")</f>
        <v/>
      </c>
      <c r="I10" t="str" cm="1">
        <f t="array" ref="I10">IFERROR(_xlfn.TEXTJOIN(",",TRUE,_xlfn.XLOOKUP(_xlfn.TEXTSPLIT(Table2[[#This Row],[FoundKeywords]],","),tblKeywords[Keyword],tblKeywords[Info2])),"")</f>
        <v/>
      </c>
    </row>
    <row r="13" spans="7:9" x14ac:dyDescent="0.4">
      <c r="G13" s="3" t="s">
        <v>20</v>
      </c>
    </row>
    <row r="14" spans="7:9" x14ac:dyDescent="0.4">
      <c r="G14" s="2" t="s">
        <v>4</v>
      </c>
    </row>
    <row r="15" spans="7:9" x14ac:dyDescent="0.4">
      <c r="G15" t="s">
        <v>3</v>
      </c>
      <c r="H15" t="s">
        <v>11</v>
      </c>
      <c r="I15" t="s">
        <v>12</v>
      </c>
    </row>
    <row r="16" spans="7:9" x14ac:dyDescent="0.4">
      <c r="G16" t="s">
        <v>5</v>
      </c>
      <c r="H16" t="s">
        <v>13</v>
      </c>
      <c r="I16" t="s">
        <v>6</v>
      </c>
    </row>
    <row r="17" spans="7:9" x14ac:dyDescent="0.4">
      <c r="G17" s="1" t="s">
        <v>9</v>
      </c>
      <c r="H17" t="s">
        <v>13</v>
      </c>
      <c r="I17" t="s">
        <v>10</v>
      </c>
    </row>
    <row r="18" spans="7:9" x14ac:dyDescent="0.4">
      <c r="G18" s="1" t="s">
        <v>7</v>
      </c>
      <c r="H18" t="s">
        <v>13</v>
      </c>
      <c r="I18" s="1" t="s">
        <v>8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TaxCatchAll xmlns="446e676c-fd78-43e7-91a1-9e80c1849c66" xsi:nil="true"/>
    <lcf76f155ced4ddcb4097134ff3c332f xmlns="b0169e27-083b-4c00-841e-731fc83540e3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2AED45FE36D5C4E8E94D57996DA049A" ma:contentTypeVersion="20" ma:contentTypeDescription="Create a new document." ma:contentTypeScope="" ma:versionID="2a6055af62765a07460b02dd5aed4f19">
  <xsd:schema xmlns:xsd="http://www.w3.org/2001/XMLSchema" xmlns:xs="http://www.w3.org/2001/XMLSchema" xmlns:p="http://schemas.microsoft.com/office/2006/metadata/properties" xmlns:ns1="http://schemas.microsoft.com/sharepoint/v3" xmlns:ns2="b0169e27-083b-4c00-841e-731fc83540e3" xmlns:ns3="446e676c-fd78-43e7-91a1-9e80c1849c66" targetNamespace="http://schemas.microsoft.com/office/2006/metadata/properties" ma:root="true" ma:fieldsID="60e384a38bf88a53ac8d95cd81a88e81" ns1:_="" ns2:_="" ns3:_="">
    <xsd:import namespace="http://schemas.microsoft.com/sharepoint/v3"/>
    <xsd:import namespace="b0169e27-083b-4c00-841e-731fc83540e3"/>
    <xsd:import namespace="446e676c-fd78-43e7-91a1-9e80c1849c6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LengthInSeconds" minOccurs="0"/>
                <xsd:element ref="ns1:_ip_UnifiedCompliancePolicyProperties" minOccurs="0"/>
                <xsd:element ref="ns1:_ip_UnifiedCompliancePolicyUIAc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0169e27-083b-4c00-841e-731fc83540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d2f065b1-1498-40d2-8d00-41b1755c0f7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6e676c-fd78-43e7-91a1-9e80c1849c66" elementFormDefault="qualified">
    <xsd:import namespace="http://schemas.microsoft.com/office/2006/documentManagement/types"/>
    <xsd:import namespace="http://schemas.microsoft.com/office/infopath/2007/PartnerControls"/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7930cfbd-0750-4723-8325-b261e2fd1feb}" ma:internalName="TaxCatchAll" ma:showField="CatchAllData" ma:web="446e676c-fd78-43e7-91a1-9e80c1849c6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9113E83-583B-4FCF-8655-D8C5448BD500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446e676c-fd78-43e7-91a1-9e80c1849c66"/>
    <ds:schemaRef ds:uri="b0169e27-083b-4c00-841e-731fc83540e3"/>
  </ds:schemaRefs>
</ds:datastoreItem>
</file>

<file path=customXml/itemProps2.xml><?xml version="1.0" encoding="utf-8"?>
<ds:datastoreItem xmlns:ds="http://schemas.openxmlformats.org/officeDocument/2006/customXml" ds:itemID="{A2A5183C-B70C-4816-8C5D-66A147E1BC6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44A90CA-32F8-4697-87DC-888CF131B70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b0169e27-083b-4c00-841e-731fc83540e3"/>
    <ds:schemaRef ds:uri="446e676c-fd78-43e7-91a1-9e80c1849c6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Lookups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Simotas</dc:creator>
  <cp:lastModifiedBy>Jason Simotas</cp:lastModifiedBy>
  <dcterms:created xsi:type="dcterms:W3CDTF">2024-07-21T07:23:03Z</dcterms:created>
  <dcterms:modified xsi:type="dcterms:W3CDTF">2024-07-21T10:31:57Z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0x01010042AED45FE36D5C4E8E94D57996DA049A</vt:lpwstr>
  </property>
</Properties>
</file>